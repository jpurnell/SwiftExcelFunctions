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urnell/Desktop/"/>
    </mc:Choice>
  </mc:AlternateContent>
  <xr:revisionPtr revIDLastSave="0" documentId="13_ncr:1_{A733A950-F62A-1444-9D0A-EE64D7762221}" xr6:coauthVersionLast="47" xr6:coauthVersionMax="47" xr10:uidLastSave="{00000000-0000-0000-0000-000000000000}"/>
  <bookViews>
    <workbookView xWindow="11240" yWindow="680" windowWidth="17360" windowHeight="21660" xr2:uid="{00000000-000D-0000-FFFF-FFFF00000000}"/>
  </bookViews>
  <sheets>
    <sheet name="Con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C77" i="1"/>
  <c r="E77" i="1" s="1"/>
  <c r="D76" i="1"/>
  <c r="C76" i="1"/>
  <c r="E76" i="1" s="1"/>
  <c r="D75" i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D60" i="1"/>
  <c r="C60" i="1"/>
  <c r="E60" i="1" s="1"/>
  <c r="D59" i="1"/>
  <c r="C59" i="1"/>
  <c r="E59" i="1" s="1"/>
  <c r="D58" i="1"/>
  <c r="C58" i="1"/>
  <c r="E58" i="1" s="1"/>
  <c r="D57" i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D32" i="1"/>
  <c r="C32" i="1"/>
  <c r="E32" i="1" s="1"/>
  <c r="D31" i="1"/>
  <c r="C31" i="1"/>
  <c r="E31" i="1" s="1"/>
  <c r="D30" i="1"/>
  <c r="C30" i="1"/>
  <c r="E30" i="1" s="1"/>
  <c r="D29" i="1"/>
  <c r="C29" i="1"/>
  <c r="E29" i="1" s="1"/>
  <c r="D28" i="1"/>
  <c r="E28" i="1" s="1"/>
  <c r="C28" i="1"/>
  <c r="D27" i="1"/>
  <c r="C27" i="1"/>
  <c r="E27" i="1" s="1"/>
  <c r="C26" i="1"/>
  <c r="E26" i="1" s="1"/>
  <c r="D25" i="1"/>
  <c r="C25" i="1"/>
  <c r="E25" i="1" s="1"/>
  <c r="D24" i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D7" i="1"/>
  <c r="C7" i="1"/>
  <c r="E7" i="1" s="1"/>
  <c r="D6" i="1"/>
  <c r="C6" i="1"/>
  <c r="E6" i="1" s="1"/>
  <c r="C5" i="1"/>
  <c r="E5" i="1" s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<sst xmlns="http://schemas.openxmlformats.org/spreadsheetml/2006/main" count="246" uniqueCount="168">
  <si>
    <t>family</t>
  </si>
  <si>
    <t>formula</t>
  </si>
  <si>
    <t>excel</t>
  </si>
  <si>
    <t>ours</t>
  </si>
  <si>
    <t>agree</t>
  </si>
  <si>
    <t>note</t>
  </si>
  <si>
    <t>compatibility</t>
  </si>
  <si>
    <t>TDIST(1.5, 8, 1)</t>
  </si>
  <si>
    <t>one tail — must equal T.DIST.RT, not half of the two-tailed answer</t>
  </si>
  <si>
    <t>TDIST(1.5, 8, 2)</t>
  </si>
  <si>
    <t>two tails — must equal T.DIST.2T</t>
  </si>
  <si>
    <t>T.DIST.RT(1.5, 8)</t>
  </si>
  <si>
    <t>the reference for the one-tailed reading</t>
  </si>
  <si>
    <t>T.DIST.2T(1.5, 8)</t>
  </si>
  <si>
    <t>the reference for the two-tailed reading</t>
  </si>
  <si>
    <t>TDIST(-1.5, 8, 2)</t>
  </si>
  <si>
    <t>negative x — documented as #NUM! for TDIST though T.DIST accepts it</t>
  </si>
  <si>
    <t>TDIST(1.5, 8, 3)</t>
  </si>
  <si>
    <t>tails is 1 or 2 and nothing else</t>
  </si>
  <si>
    <t>BETADIST(0.4, 2, 3)</t>
  </si>
  <si>
    <t>cumulative by definition — must equal BETA.DIST(...,TRUE)</t>
  </si>
  <si>
    <t>BETA.DIST(0.4, 2, 3, TRUE)</t>
  </si>
  <si>
    <t>the reference for BETADIST</t>
  </si>
  <si>
    <t>BETADIST(4, 2, 3, 0, 10)</t>
  </si>
  <si>
    <t>the bounds shift by one because cumulative sits before them</t>
  </si>
  <si>
    <t>LOGNORMDIST(2, 1, 0.5)</t>
  </si>
  <si>
    <t>cumulative only — must equal LOGNORM.DIST(...,TRUE)</t>
  </si>
  <si>
    <t>LOGNORM.DIST(2, 1, 0.5, TRUE)</t>
  </si>
  <si>
    <t>the reference for LOGNORMDIST</t>
  </si>
  <si>
    <t>HYPGEOMDIST(1, 4, 8, 20)</t>
  </si>
  <si>
    <t>the mass function — must equal HYPGEOM.DIST(...,FALSE)</t>
  </si>
  <si>
    <t>HYPGEOM.DIST(1, 4, 8, 20, FALSE)</t>
  </si>
  <si>
    <t>the reference for HYPGEOMDIST</t>
  </si>
  <si>
    <t>NEGBINOMDIST(3, 5, 0.4)</t>
  </si>
  <si>
    <t>the mass function — must equal NEGBINOM.DIST(...,FALSE)</t>
  </si>
  <si>
    <t>NEGBINOM.DIST(3, 5, 0.4, FALSE)</t>
  </si>
  <si>
    <t>the reference for NEGBINOMDIST</t>
  </si>
  <si>
    <t>CHIDIST(3.5, 4)</t>
  </si>
  <si>
    <t>spot check on a delegation: right-tailed, not left</t>
  </si>
  <si>
    <t>CRITBINOM(10, 0.3, 0.6)</t>
  </si>
  <si>
    <t>spot check: the rename to BINOM.INV kept nothing of the old name</t>
  </si>
  <si>
    <t>complex</t>
  </si>
  <si>
    <t>COMPLEX(7, 0)</t>
  </si>
  <si>
    <t>7</t>
  </si>
  <si>
    <t>THE open question: is a zero imaginary part written bare, as "7"?</t>
  </si>
  <si>
    <t>COMPLEX(0, 1)</t>
  </si>
  <si>
    <t>i</t>
  </si>
  <si>
    <t>is the unit written as "i" alone?</t>
  </si>
  <si>
    <t>COMPLEX(0, 4)</t>
  </si>
  <si>
    <t>4i</t>
  </si>
  <si>
    <t>is a zero real part omitted entirely?</t>
  </si>
  <si>
    <t>COMPLEX(3, -4)</t>
  </si>
  <si>
    <t>3-4i</t>
  </si>
  <si>
    <t>a negative imaginary part takes no separate operator</t>
  </si>
  <si>
    <t>COMPLEX(3, 4, "j")</t>
  </si>
  <si>
    <t>3+4j</t>
  </si>
  <si>
    <t>the j suffix is carried</t>
  </si>
  <si>
    <t>COMPLEX(3, 4, "I")</t>
  </si>
  <si>
    <t>uppercase is documented as #VALUE!</t>
  </si>
  <si>
    <t>IMSUM("1+1i", "1+1j")</t>
  </si>
  <si>
    <t>INFERRED: mixed suffixes assumed #VALUE! — not documented anywhere</t>
  </si>
  <si>
    <t>IMSUM("3", "4")</t>
  </si>
  <si>
    <t>two reals — is the result "7" with no suffix?</t>
  </si>
  <si>
    <t>IMABS("3+4I")</t>
  </si>
  <si>
    <t>uppercase suffix in an argument</t>
  </si>
  <si>
    <t>IMABS("3+4")</t>
  </si>
  <si>
    <t>a missing suffix — #NUM! rather than an implied i?</t>
  </si>
  <si>
    <t>IMABS("banana")</t>
  </si>
  <si>
    <t>text that is not a complex number</t>
  </si>
  <si>
    <t>IMARGUMENT("0")</t>
  </si>
  <si>
    <t>the argument of zero — #DIV/0! rather than 0?</t>
  </si>
  <si>
    <t>IMLN("0")</t>
  </si>
  <si>
    <t>log of zero</t>
  </si>
  <si>
    <t>IMDIV("3+4i", "0")</t>
  </si>
  <si>
    <t>division by zero</t>
  </si>
  <si>
    <t>IMSQRT("3+4i")</t>
  </si>
  <si>
    <t>2+i</t>
  </si>
  <si>
    <t>a value with a known exact answer</t>
  </si>
  <si>
    <t>IMPOWER("1+1i", 3)</t>
  </si>
  <si>
    <t>-1.9999999999999996+2i</t>
  </si>
  <si>
    <t>an integral power</t>
  </si>
  <si>
    <t>IMEXP("1+1i")</t>
  </si>
  <si>
    <t>1.4686939399158851+2.2873552871788423i</t>
  </si>
  <si>
    <t>formatting of a long decimal</t>
  </si>
  <si>
    <t>IMSEC("1+1i")</t>
  </si>
  <si>
    <t>0.4983370305551868+0.591083841721045i</t>
  </si>
  <si>
    <t>a reciprocal spelling</t>
  </si>
  <si>
    <t>IMCOT("1+1i")</t>
  </si>
  <si>
    <t>0.2176215618544027-0.8680141428959249i</t>
  </si>
  <si>
    <t>IMLOG2("3+4i")</t>
  </si>
  <si>
    <t>2.321928094887362+1.3378042124509761i</t>
  </si>
  <si>
    <t>a change of base</t>
  </si>
  <si>
    <t>convert</t>
  </si>
  <si>
    <t>CONVERT(1, "ft", "in")</t>
  </si>
  <si>
    <t>exact by definition</t>
  </si>
  <si>
    <t>CONVERT(1, "mi", "ft")</t>
  </si>
  <si>
    <t>CONVERT(1, "lbm", "ozm")</t>
  </si>
  <si>
    <t>CONVERT(1, "gal", "qt")</t>
  </si>
  <si>
    <t>CONVERT(1, "byte", "bit")</t>
  </si>
  <si>
    <t>CONVERT(0, "C", "F")</t>
  </si>
  <si>
    <t>the affine offset</t>
  </si>
  <si>
    <t>CONVERT(100, "C", "F")</t>
  </si>
  <si>
    <t>the affine slope</t>
  </si>
  <si>
    <t>CONVERT(0, "C", "K")</t>
  </si>
  <si>
    <t>absolute zero offset</t>
  </si>
  <si>
    <t>CONVERT(20, "C", "Reau")</t>
  </si>
  <si>
    <t>the Réaumur scale</t>
  </si>
  <si>
    <t>CONVERT(1, "km2", "m2")</t>
  </si>
  <si>
    <t>a prefix on an area — squared, or not?</t>
  </si>
  <si>
    <t>CONVERT(1, "km3", "m3")</t>
  </si>
  <si>
    <t>a prefix on a volume — cubed, or not?</t>
  </si>
  <si>
    <t>CONVERT(1, "kibyte", "byte")</t>
  </si>
  <si>
    <t>a binary prefix</t>
  </si>
  <si>
    <t>CONVERT(1, "mn", "sec")</t>
  </si>
  <si>
    <t>mn is a minute — if it reads as milli-newton this is wrong</t>
  </si>
  <si>
    <t>CONVERT(1, "cwt", "lbm")</t>
  </si>
  <si>
    <t>cwt is a hundredweight, not a centi-watt</t>
  </si>
  <si>
    <t>CONVERT(1, "c", "J")</t>
  </si>
  <si>
    <t>c is the thermodynamic calorie; cal is the IT one</t>
  </si>
  <si>
    <t>CONVERT(1, "cal", "J")</t>
  </si>
  <si>
    <t>and they differ in the fourth digit</t>
  </si>
  <si>
    <t>CONVERT(1, "Picapt", "in")</t>
  </si>
  <si>
    <t>Picapt is 1/72 inch; pica is 1/6</t>
  </si>
  <si>
    <t>CONVERT(1, "pica", "in")</t>
  </si>
  <si>
    <t>the other pica</t>
  </si>
  <si>
    <t>CONVERT(1, "mK", "K")</t>
  </si>
  <si>
    <t>INFERRED: prefixes assumed refused on temperature</t>
  </si>
  <si>
    <t>CONVERT(1, "furlong", "m")</t>
  </si>
  <si>
    <t>INFERRED: an unknown unit assumed #N/A</t>
  </si>
  <si>
    <t>CONVERT(1, "kft", "m")</t>
  </si>
  <si>
    <t>a prefix on a non-metric unit</t>
  </si>
  <si>
    <t>CONVERT(1, "m", "g")</t>
  </si>
  <si>
    <t>across measures</t>
  </si>
  <si>
    <t>CONVERT(1, "uk_acre", "m2")</t>
  </si>
  <si>
    <t>the two acres differ</t>
  </si>
  <si>
    <t>CONVERT(1, "us_acre", "m2")</t>
  </si>
  <si>
    <t>and this is the other</t>
  </si>
  <si>
    <t>CONVERT(1, "kn", "m/s")</t>
  </si>
  <si>
    <t>a knot</t>
  </si>
  <si>
    <t>CONVERT(1, "admkn", "m/s")</t>
  </si>
  <si>
    <t>the admiralty knot</t>
  </si>
  <si>
    <t>bessel</t>
  </si>
  <si>
    <t>BESSELJ(2.5, 0)</t>
  </si>
  <si>
    <t>J at a middling argument</t>
  </si>
  <si>
    <t>BESSELJ(2.5, 1)</t>
  </si>
  <si>
    <t>order one</t>
  </si>
  <si>
    <t>BESSELJ(7, 3)</t>
  </si>
  <si>
    <t>further out, higher order</t>
  </si>
  <si>
    <t>BESSELY(2.5, 0)</t>
  </si>
  <si>
    <t>the second kind</t>
  </si>
  <si>
    <t>BESSELY(7, 2)</t>
  </si>
  <si>
    <t>second kind, higher order</t>
  </si>
  <si>
    <t>BESSELI(2.5, 0)</t>
  </si>
  <si>
    <t>the modified first kind</t>
  </si>
  <si>
    <t>BESSELI(7, 3)</t>
  </si>
  <si>
    <t>modified, growing</t>
  </si>
  <si>
    <t>BESSELK(2.5, 0)</t>
  </si>
  <si>
    <t>the modified second kind</t>
  </si>
  <si>
    <t>BESSELK(7, 2)</t>
  </si>
  <si>
    <t>modified, decaying</t>
  </si>
  <si>
    <t>BESSELJ(2.5, 1.9)</t>
  </si>
  <si>
    <t>a fractional order — truncated to 1, or rounded to 2?</t>
  </si>
  <si>
    <t>BESSELJ(1, -1)</t>
  </si>
  <si>
    <t>a negative order</t>
  </si>
  <si>
    <t>BESSELK(0, 0)</t>
  </si>
  <si>
    <t>INFERRED: K at the origin assumed #NUM!</t>
  </si>
  <si>
    <t>BESSELY(-1, 0)</t>
  </si>
  <si>
    <t>INFERRED: Y below the origin assumed #NUM!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</si>
</sst>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f>TDIST(1.5,8,1)</f>
        <v>8.6001645975955693E-2</v>
      </c>
      <c r="D2">
        <v>8.6001645975955832E-2</v>
      </c>
      <c r="E2" t="str">
        <f t="shared" ref="E2:E33" si="0">IF(ISERROR(C2)&lt;&gt;ISERROR(D2),"DIFFER",IF(ISERROR(C2),"both error",IF(ISNUMBER(C2),IF(ABS(C2-D2)&lt;=0.000000001*MAX(1,ABS(D2)),"ok","DIFFER"),IF(EXACT(C2,D2),"ok","DIFFER"))))</f>
        <v>ok</v>
      </c>
      <c r="F2" t="s">
        <v>8</v>
      </c>
    </row>
    <row r="3" spans="1:6" x14ac:dyDescent="0.2">
      <c r="A3" t="s">
        <v>6</v>
      </c>
      <c r="B3" t="s">
        <v>9</v>
      </c>
      <c r="C3">
        <f>TDIST(1.5,8,2)</f>
        <v>0.17200329195191139</v>
      </c>
      <c r="D3">
        <v>0.17200329195191166</v>
      </c>
      <c r="E3" t="str">
        <f t="shared" si="0"/>
        <v>ok</v>
      </c>
      <c r="F3" t="s">
        <v>10</v>
      </c>
    </row>
    <row r="4" spans="1:6" x14ac:dyDescent="0.2">
      <c r="A4" t="s">
        <v>6</v>
      </c>
      <c r="B4" t="s">
        <v>11</v>
      </c>
      <c r="C4" t="e">
        <f ca="1">_xludf.T.DIST.RT(1.5,8)</f>
        <v>#NAME?</v>
      </c>
      <c r="D4">
        <v>8.6001645975955832E-2</v>
      </c>
      <c r="E4" t="str">
        <f t="shared" ca="1" si="0"/>
        <v>DIFFER</v>
      </c>
      <c r="F4" t="s">
        <v>12</v>
      </c>
    </row>
    <row r="5" spans="1:6" x14ac:dyDescent="0.2">
      <c r="A5" t="s">
        <v>6</v>
      </c>
      <c r="B5" t="s">
        <v>13</v>
      </c>
      <c r="C5" t="e">
        <f ca="1">_xludf.T.DIST.2T(1.5,8)</f>
        <v>#NAME?</v>
      </c>
      <c r="D5">
        <v>0.17200329195191166</v>
      </c>
      <c r="E5" t="str">
        <f t="shared" ca="1" si="0"/>
        <v>DIFFER</v>
      </c>
      <c r="F5" t="s">
        <v>14</v>
      </c>
    </row>
    <row r="6" spans="1:6" x14ac:dyDescent="0.2">
      <c r="A6" t="s">
        <v>6</v>
      </c>
      <c r="B6" t="s">
        <v>15</v>
      </c>
      <c r="C6" t="e">
        <f>TDIST(-1.5,8,2)</f>
        <v>#NUM!</v>
      </c>
      <c r="D6" t="e">
        <f>SQRT(-1)</f>
        <v>#NUM!</v>
      </c>
      <c r="E6" t="str">
        <f t="shared" si="0"/>
        <v>both error</v>
      </c>
      <c r="F6" t="s">
        <v>16</v>
      </c>
    </row>
    <row r="7" spans="1:6" x14ac:dyDescent="0.2">
      <c r="A7" t="s">
        <v>6</v>
      </c>
      <c r="B7" t="s">
        <v>17</v>
      </c>
      <c r="C7" t="e">
        <f>TDIST(1.5,8,3)</f>
        <v>#NUM!</v>
      </c>
      <c r="D7" t="e">
        <f>SQRT(-1)</f>
        <v>#NUM!</v>
      </c>
      <c r="E7" t="str">
        <f t="shared" si="0"/>
        <v>both error</v>
      </c>
      <c r="F7" t="s">
        <v>18</v>
      </c>
    </row>
    <row r="8" spans="1:6" x14ac:dyDescent="0.2">
      <c r="A8" t="s">
        <v>6</v>
      </c>
      <c r="B8" t="s">
        <v>19</v>
      </c>
      <c r="C8">
        <f>BETADIST(0.4,2,3)</f>
        <v>0.52480000000000004</v>
      </c>
      <c r="D8">
        <v>0.52479999999999982</v>
      </c>
      <c r="E8" t="str">
        <f t="shared" si="0"/>
        <v>ok</v>
      </c>
      <c r="F8" t="s">
        <v>20</v>
      </c>
    </row>
    <row r="9" spans="1:6" x14ac:dyDescent="0.2">
      <c r="A9" t="s">
        <v>6</v>
      </c>
      <c r="B9" t="s">
        <v>21</v>
      </c>
      <c r="C9" t="e">
        <f ca="1">_xludf.BETA.DIST(0.4,2,3,TRUE)</f>
        <v>#NAME?</v>
      </c>
      <c r="D9">
        <v>0.52479999999999982</v>
      </c>
      <c r="E9" t="str">
        <f t="shared" ca="1" si="0"/>
        <v>DIFFER</v>
      </c>
      <c r="F9" t="s">
        <v>22</v>
      </c>
    </row>
    <row r="10" spans="1:6" x14ac:dyDescent="0.2">
      <c r="A10" t="s">
        <v>6</v>
      </c>
      <c r="B10" t="s">
        <v>23</v>
      </c>
      <c r="C10">
        <f>BETADIST(4,2,3,0,10)</f>
        <v>0.52480000000000004</v>
      </c>
      <c r="D10">
        <v>0.52479999999999982</v>
      </c>
      <c r="E10" t="str">
        <f t="shared" si="0"/>
        <v>ok</v>
      </c>
      <c r="F10" t="s">
        <v>24</v>
      </c>
    </row>
    <row r="11" spans="1:6" x14ac:dyDescent="0.2">
      <c r="A11" t="s">
        <v>6</v>
      </c>
      <c r="B11" t="s">
        <v>25</v>
      </c>
      <c r="C11">
        <f>LOGNORMDIST(2,1,0.5)</f>
        <v>0.26970493073490942</v>
      </c>
      <c r="D11">
        <v>0.26970493073490953</v>
      </c>
      <c r="E11" t="str">
        <f t="shared" si="0"/>
        <v>ok</v>
      </c>
      <c r="F11" t="s">
        <v>26</v>
      </c>
    </row>
    <row r="12" spans="1:6" x14ac:dyDescent="0.2">
      <c r="A12" t="s">
        <v>6</v>
      </c>
      <c r="B12" t="s">
        <v>27</v>
      </c>
      <c r="C12" t="e">
        <f ca="1">_xludf.LOGNORM.DIST(2,1,0.5,TRUE)</f>
        <v>#NAME?</v>
      </c>
      <c r="D12">
        <v>0.26970493073490953</v>
      </c>
      <c r="E12" t="str">
        <f t="shared" ca="1" si="0"/>
        <v>DIFFER</v>
      </c>
      <c r="F12" t="s">
        <v>28</v>
      </c>
    </row>
    <row r="13" spans="1:6" x14ac:dyDescent="0.2">
      <c r="A13" t="s">
        <v>6</v>
      </c>
      <c r="B13" t="s">
        <v>29</v>
      </c>
      <c r="C13">
        <f>HYPGEOMDIST(1,4,8,20)</f>
        <v>0.36326109391124861</v>
      </c>
      <c r="D13">
        <v>0.36326109391125011</v>
      </c>
      <c r="E13" t="str">
        <f t="shared" si="0"/>
        <v>ok</v>
      </c>
      <c r="F13" t="s">
        <v>30</v>
      </c>
    </row>
    <row r="14" spans="1:6" x14ac:dyDescent="0.2">
      <c r="A14" t="s">
        <v>6</v>
      </c>
      <c r="B14" t="s">
        <v>31</v>
      </c>
      <c r="C14" t="e">
        <f ca="1">_xludf.HYPGEOM.DIST(1,4,8,20,FALSE)</f>
        <v>#NAME?</v>
      </c>
      <c r="D14">
        <v>0.36326109391125011</v>
      </c>
      <c r="E14" t="str">
        <f t="shared" ca="1" si="0"/>
        <v>DIFFER</v>
      </c>
      <c r="F14" t="s">
        <v>32</v>
      </c>
    </row>
    <row r="15" spans="1:6" x14ac:dyDescent="0.2">
      <c r="A15" t="s">
        <v>6</v>
      </c>
      <c r="B15" t="s">
        <v>33</v>
      </c>
      <c r="C15">
        <f>NEGBINOMDIST(3,5,0.4)</f>
        <v>7.7414399999999994E-2</v>
      </c>
      <c r="D15">
        <v>7.7414399999999911E-2</v>
      </c>
      <c r="E15" t="str">
        <f t="shared" si="0"/>
        <v>ok</v>
      </c>
      <c r="F15" t="s">
        <v>34</v>
      </c>
    </row>
    <row r="16" spans="1:6" x14ac:dyDescent="0.2">
      <c r="A16" t="s">
        <v>6</v>
      </c>
      <c r="B16" t="s">
        <v>35</v>
      </c>
      <c r="C16" t="e">
        <f ca="1">_xludf.NEGBINOM.DIST(3,5,0.4,FALSE)</f>
        <v>#NAME?</v>
      </c>
      <c r="D16">
        <v>7.7414399999999911E-2</v>
      </c>
      <c r="E16" t="str">
        <f t="shared" ca="1" si="0"/>
        <v>DIFFER</v>
      </c>
      <c r="F16" t="s">
        <v>36</v>
      </c>
    </row>
    <row r="17" spans="1:6" x14ac:dyDescent="0.2">
      <c r="A17" t="s">
        <v>6</v>
      </c>
      <c r="B17" t="s">
        <v>37</v>
      </c>
      <c r="C17">
        <f>CHIDIST(3.5,4)</f>
        <v>0.47787834448872379</v>
      </c>
      <c r="D17">
        <v>0.47787834448872402</v>
      </c>
      <c r="E17" t="str">
        <f t="shared" si="0"/>
        <v>ok</v>
      </c>
      <c r="F17" t="s">
        <v>38</v>
      </c>
    </row>
    <row r="18" spans="1:6" x14ac:dyDescent="0.2">
      <c r="A18" t="s">
        <v>6</v>
      </c>
      <c r="B18" t="s">
        <v>39</v>
      </c>
      <c r="C18">
        <f>CRITBINOM(10,0.3,0.6)</f>
        <v>3</v>
      </c>
      <c r="D18">
        <v>3</v>
      </c>
      <c r="E18" t="str">
        <f t="shared" si="0"/>
        <v>ok</v>
      </c>
      <c r="F18" t="s">
        <v>40</v>
      </c>
    </row>
    <row r="19" spans="1:6" x14ac:dyDescent="0.2">
      <c r="A19" t="s">
        <v>41</v>
      </c>
      <c r="B19" t="s">
        <v>42</v>
      </c>
      <c r="C19" t="str">
        <f>COMPLEX(7,0)</f>
        <v>7</v>
      </c>
      <c r="D19" t="s">
        <v>43</v>
      </c>
      <c r="E19" t="str">
        <f t="shared" si="0"/>
        <v>ok</v>
      </c>
      <c r="F19" t="s">
        <v>44</v>
      </c>
    </row>
    <row r="20" spans="1:6" x14ac:dyDescent="0.2">
      <c r="A20" t="s">
        <v>41</v>
      </c>
      <c r="B20" t="s">
        <v>45</v>
      </c>
      <c r="C20" t="str">
        <f>COMPLEX(0,1)</f>
        <v>i</v>
      </c>
      <c r="D20" t="s">
        <v>46</v>
      </c>
      <c r="E20" t="str">
        <f t="shared" si="0"/>
        <v>ok</v>
      </c>
      <c r="F20" t="s">
        <v>47</v>
      </c>
    </row>
    <row r="21" spans="1:6" x14ac:dyDescent="0.2">
      <c r="A21" t="s">
        <v>41</v>
      </c>
      <c r="B21" t="s">
        <v>48</v>
      </c>
      <c r="C21" t="str">
        <f>COMPLEX(0,4)</f>
        <v>4i</v>
      </c>
      <c r="D21" t="s">
        <v>49</v>
      </c>
      <c r="E21" t="str">
        <f t="shared" si="0"/>
        <v>ok</v>
      </c>
      <c r="F21" t="s">
        <v>50</v>
      </c>
    </row>
    <row r="22" spans="1:6" x14ac:dyDescent="0.2">
      <c r="A22" t="s">
        <v>41</v>
      </c>
      <c r="B22" t="s">
        <v>51</v>
      </c>
      <c r="C22" t="str">
        <f>COMPLEX(3,-4)</f>
        <v>3-4i</v>
      </c>
      <c r="D22" t="s">
        <v>52</v>
      </c>
      <c r="E22" t="str">
        <f t="shared" si="0"/>
        <v>ok</v>
      </c>
      <c r="F22" t="s">
        <v>53</v>
      </c>
    </row>
    <row r="23" spans="1:6" x14ac:dyDescent="0.2">
      <c r="A23" t="s">
        <v>41</v>
      </c>
      <c r="B23" t="s">
        <v>54</v>
      </c>
      <c r="C23" t="str">
        <f>COMPLEX(3,4,"j")</f>
        <v>3+4j</v>
      </c>
      <c r="D23" t="s">
        <v>55</v>
      </c>
      <c r="E23" t="str">
        <f t="shared" si="0"/>
        <v>ok</v>
      </c>
      <c r="F23" t="s">
        <v>56</v>
      </c>
    </row>
    <row r="24" spans="1:6" x14ac:dyDescent="0.2">
      <c r="A24" t="s">
        <v>41</v>
      </c>
      <c r="B24" t="s">
        <v>57</v>
      </c>
      <c r="C24" t="e">
        <f>COMPLEX(3,4,"I")</f>
        <v>#VALUE!</v>
      </c>
      <c r="D24" t="e">
        <f>VALUE("!")</f>
        <v>#VALUE!</v>
      </c>
      <c r="E24" t="str">
        <f t="shared" si="0"/>
        <v>both error</v>
      </c>
      <c r="F24" t="s">
        <v>58</v>
      </c>
    </row>
    <row r="25" spans="1:6" x14ac:dyDescent="0.2">
      <c r="A25" t="s">
        <v>41</v>
      </c>
      <c r="B25" t="s">
        <v>59</v>
      </c>
      <c r="C25" t="e">
        <f>IMSUM("1+1i","1+1j")</f>
        <v>#VALUE!</v>
      </c>
      <c r="D25" t="e">
        <f>VALUE("!")</f>
        <v>#VALUE!</v>
      </c>
      <c r="E25" t="str">
        <f t="shared" si="0"/>
        <v>both error</v>
      </c>
      <c r="F25" t="s">
        <v>60</v>
      </c>
    </row>
    <row r="26" spans="1:6" x14ac:dyDescent="0.2">
      <c r="A26" t="s">
        <v>41</v>
      </c>
      <c r="B26" t="s">
        <v>61</v>
      </c>
      <c r="C26" t="str">
        <f>IMSUM("3","4")</f>
        <v>7</v>
      </c>
      <c r="D26" t="s">
        <v>43</v>
      </c>
      <c r="E26" t="str">
        <f t="shared" si="0"/>
        <v>ok</v>
      </c>
      <c r="F26" t="s">
        <v>62</v>
      </c>
    </row>
    <row r="27" spans="1:6" x14ac:dyDescent="0.2">
      <c r="A27" t="s">
        <v>41</v>
      </c>
      <c r="B27" t="s">
        <v>63</v>
      </c>
      <c r="C27" t="e">
        <f>IMABS("3+4I")</f>
        <v>#NUM!</v>
      </c>
      <c r="D27" t="e">
        <f>VALUE("!")</f>
        <v>#VALUE!</v>
      </c>
      <c r="E27" t="str">
        <f t="shared" si="0"/>
        <v>both error</v>
      </c>
      <c r="F27" t="s">
        <v>64</v>
      </c>
    </row>
    <row r="28" spans="1:6" x14ac:dyDescent="0.2">
      <c r="A28" t="s">
        <v>41</v>
      </c>
      <c r="B28" t="s">
        <v>65</v>
      </c>
      <c r="C28" t="e">
        <f>IMABS("3+4")</f>
        <v>#NUM!</v>
      </c>
      <c r="D28" t="e">
        <f>SQRT(-1)</f>
        <v>#NUM!</v>
      </c>
      <c r="E28" t="str">
        <f t="shared" si="0"/>
        <v>both error</v>
      </c>
      <c r="F28" t="s">
        <v>66</v>
      </c>
    </row>
    <row r="29" spans="1:6" x14ac:dyDescent="0.2">
      <c r="A29" t="s">
        <v>41</v>
      </c>
      <c r="B29" t="s">
        <v>67</v>
      </c>
      <c r="C29" t="e">
        <f>IMABS("banana")</f>
        <v>#NUM!</v>
      </c>
      <c r="D29" t="e">
        <f>SQRT(-1)</f>
        <v>#NUM!</v>
      </c>
      <c r="E29" t="str">
        <f t="shared" si="0"/>
        <v>both error</v>
      </c>
      <c r="F29" t="s">
        <v>68</v>
      </c>
    </row>
    <row r="30" spans="1:6" x14ac:dyDescent="0.2">
      <c r="A30" t="s">
        <v>41</v>
      </c>
      <c r="B30" t="s">
        <v>69</v>
      </c>
      <c r="C30" t="e">
        <f>IMARGUMENT("0")</f>
        <v>#DIV/0!</v>
      </c>
      <c r="D30" t="e">
        <f>1/0</f>
        <v>#DIV/0!</v>
      </c>
      <c r="E30" t="str">
        <f t="shared" si="0"/>
        <v>both error</v>
      </c>
      <c r="F30" t="s">
        <v>70</v>
      </c>
    </row>
    <row r="31" spans="1:6" x14ac:dyDescent="0.2">
      <c r="A31" t="s">
        <v>41</v>
      </c>
      <c r="B31" t="s">
        <v>71</v>
      </c>
      <c r="C31" t="e">
        <f>IMLN("0")</f>
        <v>#NUM!</v>
      </c>
      <c r="D31" t="e">
        <f>SQRT(-1)</f>
        <v>#NUM!</v>
      </c>
      <c r="E31" t="str">
        <f t="shared" si="0"/>
        <v>both error</v>
      </c>
      <c r="F31" t="s">
        <v>72</v>
      </c>
    </row>
    <row r="32" spans="1:6" x14ac:dyDescent="0.2">
      <c r="A32" t="s">
        <v>41</v>
      </c>
      <c r="B32" t="s">
        <v>73</v>
      </c>
      <c r="C32" t="e">
        <f>IMDIV("3+4i","0")</f>
        <v>#NUM!</v>
      </c>
      <c r="D32" t="e">
        <f>SQRT(-1)</f>
        <v>#NUM!</v>
      </c>
      <c r="E32" t="str">
        <f t="shared" si="0"/>
        <v>both error</v>
      </c>
      <c r="F32" t="s">
        <v>74</v>
      </c>
    </row>
    <row r="33" spans="1:6" x14ac:dyDescent="0.2">
      <c r="A33" t="s">
        <v>41</v>
      </c>
      <c r="B33" t="s">
        <v>75</v>
      </c>
      <c r="C33" t="str">
        <f>IMSQRT("3+4i")</f>
        <v>2+i</v>
      </c>
      <c r="D33" t="s">
        <v>76</v>
      </c>
      <c r="E33" t="str">
        <f t="shared" si="0"/>
        <v>ok</v>
      </c>
      <c r="F33" t="s">
        <v>77</v>
      </c>
    </row>
    <row r="34" spans="1:6" x14ac:dyDescent="0.2">
      <c r="A34" t="s">
        <v>41</v>
      </c>
      <c r="B34" t="s">
        <v>78</v>
      </c>
      <c r="C34" t="str">
        <f>IMPOWER("1+1i",3)</f>
        <v>-2+2i</v>
      </c>
      <c r="D34" t="s">
        <v>79</v>
      </c>
      <c r="E34" t="str">
        <f t="shared" ref="E34:E65" si="1">IF(ISERROR(C34)&lt;&gt;ISERROR(D34),"DIFFER",IF(ISERROR(C34),"both error",IF(ISNUMBER(C34),IF(ABS(C34-D34)&lt;=0.000000001*MAX(1,ABS(D34)),"ok","DIFFER"),IF(EXACT(C34,D34),"ok","DIFFER"))))</f>
        <v>DIFFER</v>
      </c>
      <c r="F34" t="s">
        <v>80</v>
      </c>
    </row>
    <row r="35" spans="1:6" x14ac:dyDescent="0.2">
      <c r="A35" t="s">
        <v>41</v>
      </c>
      <c r="B35" t="s">
        <v>81</v>
      </c>
      <c r="C35" t="str">
        <f>IMEXP("1+1i")</f>
        <v>1.46869393991589+2.28735528717884i</v>
      </c>
      <c r="D35" t="s">
        <v>82</v>
      </c>
      <c r="E35" t="str">
        <f t="shared" si="1"/>
        <v>DIFFER</v>
      </c>
      <c r="F35" t="s">
        <v>83</v>
      </c>
    </row>
    <row r="36" spans="1:6" x14ac:dyDescent="0.2">
      <c r="A36" t="s">
        <v>41</v>
      </c>
      <c r="B36" t="s">
        <v>84</v>
      </c>
      <c r="C36" t="e">
        <f ca="1">_xludf.IMSEC("1+1i")</f>
        <v>#NAME?</v>
      </c>
      <c r="D36" t="s">
        <v>85</v>
      </c>
      <c r="E36" t="str">
        <f t="shared" ca="1" si="1"/>
        <v>DIFFER</v>
      </c>
      <c r="F36" t="s">
        <v>86</v>
      </c>
    </row>
    <row r="37" spans="1:6" x14ac:dyDescent="0.2">
      <c r="A37" t="s">
        <v>41</v>
      </c>
      <c r="B37" t="s">
        <v>87</v>
      </c>
      <c r="C37" t="e">
        <f ca="1">_xludf.IMCOT("1+1i")</f>
        <v>#NAME?</v>
      </c>
      <c r="D37" t="s">
        <v>88</v>
      </c>
      <c r="E37" t="str">
        <f t="shared" ca="1" si="1"/>
        <v>DIFFER</v>
      </c>
      <c r="F37" t="s">
        <v>86</v>
      </c>
    </row>
    <row r="38" spans="1:6" x14ac:dyDescent="0.2">
      <c r="A38" t="s">
        <v>41</v>
      </c>
      <c r="B38" t="s">
        <v>89</v>
      </c>
      <c r="C38" t="str">
        <f>IMLOG2("3+4i")</f>
        <v>2.32192809488736+1.33780421245098i</v>
      </c>
      <c r="D38" t="s">
        <v>90</v>
      </c>
      <c r="E38" t="str">
        <f t="shared" si="1"/>
        <v>DIFFER</v>
      </c>
      <c r="F38" t="s">
        <v>91</v>
      </c>
    </row>
    <row r="39" spans="1:6" x14ac:dyDescent="0.2">
      <c r="A39" t="s">
        <v>92</v>
      </c>
      <c r="B39" t="s">
        <v>93</v>
      </c>
      <c r="C39">
        <f>CONVERT(1,"ft","in")</f>
        <v>12</v>
      </c>
      <c r="D39">
        <v>12.000000000000002</v>
      </c>
      <c r="E39" t="str">
        <f t="shared" si="1"/>
        <v>ok</v>
      </c>
      <c r="F39" t="s">
        <v>94</v>
      </c>
    </row>
    <row r="40" spans="1:6" x14ac:dyDescent="0.2">
      <c r="A40" t="s">
        <v>92</v>
      </c>
      <c r="B40" t="s">
        <v>95</v>
      </c>
      <c r="C40">
        <f>CONVERT(1,"mi","ft")</f>
        <v>5280</v>
      </c>
      <c r="D40">
        <v>5280</v>
      </c>
      <c r="E40" t="str">
        <f t="shared" si="1"/>
        <v>ok</v>
      </c>
      <c r="F40" t="s">
        <v>94</v>
      </c>
    </row>
    <row r="41" spans="1:6" x14ac:dyDescent="0.2">
      <c r="A41" t="s">
        <v>92</v>
      </c>
      <c r="B41" t="s">
        <v>96</v>
      </c>
      <c r="C41">
        <f>CONVERT(1,"lbm","ozm")</f>
        <v>16</v>
      </c>
      <c r="D41">
        <v>16</v>
      </c>
      <c r="E41" t="str">
        <f t="shared" si="1"/>
        <v>ok</v>
      </c>
      <c r="F41" t="s">
        <v>94</v>
      </c>
    </row>
    <row r="42" spans="1:6" x14ac:dyDescent="0.2">
      <c r="A42" t="s">
        <v>92</v>
      </c>
      <c r="B42" t="s">
        <v>97</v>
      </c>
      <c r="C42">
        <f>CONVERT(1,"gal","qt")</f>
        <v>4</v>
      </c>
      <c r="D42">
        <v>4</v>
      </c>
      <c r="E42" t="str">
        <f t="shared" si="1"/>
        <v>ok</v>
      </c>
      <c r="F42" t="s">
        <v>94</v>
      </c>
    </row>
    <row r="43" spans="1:6" x14ac:dyDescent="0.2">
      <c r="A43" t="s">
        <v>92</v>
      </c>
      <c r="B43" t="s">
        <v>98</v>
      </c>
      <c r="C43">
        <f>CONVERT(1,"byte","bit")</f>
        <v>8</v>
      </c>
      <c r="D43">
        <v>8</v>
      </c>
      <c r="E43" t="str">
        <f t="shared" si="1"/>
        <v>ok</v>
      </c>
      <c r="F43" t="s">
        <v>94</v>
      </c>
    </row>
    <row r="44" spans="1:6" x14ac:dyDescent="0.2">
      <c r="A44" t="s">
        <v>92</v>
      </c>
      <c r="B44" t="s">
        <v>99</v>
      </c>
      <c r="C44">
        <f>CONVERT(0,"C","F")</f>
        <v>32</v>
      </c>
      <c r="D44">
        <v>31.999999999999943</v>
      </c>
      <c r="E44" t="str">
        <f t="shared" si="1"/>
        <v>ok</v>
      </c>
      <c r="F44" t="s">
        <v>100</v>
      </c>
    </row>
    <row r="45" spans="1:6" x14ac:dyDescent="0.2">
      <c r="A45" t="s">
        <v>92</v>
      </c>
      <c r="B45" t="s">
        <v>101</v>
      </c>
      <c r="C45">
        <f>CONVERT(100,"C","F")</f>
        <v>212</v>
      </c>
      <c r="D45">
        <v>211.99999999999994</v>
      </c>
      <c r="E45" t="str">
        <f t="shared" si="1"/>
        <v>ok</v>
      </c>
      <c r="F45" t="s">
        <v>102</v>
      </c>
    </row>
    <row r="46" spans="1:6" x14ac:dyDescent="0.2">
      <c r="A46" t="s">
        <v>92</v>
      </c>
      <c r="B46" t="s">
        <v>103</v>
      </c>
      <c r="C46">
        <f>CONVERT(0,"C","K")</f>
        <v>273.14999999999998</v>
      </c>
      <c r="D46">
        <v>273.14999999999998</v>
      </c>
      <c r="E46" t="str">
        <f t="shared" si="1"/>
        <v>ok</v>
      </c>
      <c r="F46" t="s">
        <v>104</v>
      </c>
    </row>
    <row r="47" spans="1:6" x14ac:dyDescent="0.2">
      <c r="A47" t="s">
        <v>92</v>
      </c>
      <c r="B47" t="s">
        <v>105</v>
      </c>
      <c r="C47">
        <f>CONVERT(20,"C","Reau")</f>
        <v>16</v>
      </c>
      <c r="D47">
        <v>16</v>
      </c>
      <c r="E47" t="str">
        <f t="shared" si="1"/>
        <v>ok</v>
      </c>
      <c r="F47" t="s">
        <v>106</v>
      </c>
    </row>
    <row r="48" spans="1:6" x14ac:dyDescent="0.2">
      <c r="A48" t="s">
        <v>92</v>
      </c>
      <c r="B48" t="s">
        <v>107</v>
      </c>
      <c r="C48">
        <f>CONVERT(1,"km2","m2")</f>
        <v>1000000</v>
      </c>
      <c r="D48">
        <v>1000000</v>
      </c>
      <c r="E48" t="str">
        <f t="shared" si="1"/>
        <v>ok</v>
      </c>
      <c r="F48" t="s">
        <v>108</v>
      </c>
    </row>
    <row r="49" spans="1:6" x14ac:dyDescent="0.2">
      <c r="A49" t="s">
        <v>92</v>
      </c>
      <c r="B49" t="s">
        <v>109</v>
      </c>
      <c r="C49">
        <f>CONVERT(1,"km3","m3")</f>
        <v>1000000000</v>
      </c>
      <c r="D49">
        <v>1000000000</v>
      </c>
      <c r="E49" t="str">
        <f t="shared" si="1"/>
        <v>ok</v>
      </c>
      <c r="F49" t="s">
        <v>110</v>
      </c>
    </row>
    <row r="50" spans="1:6" x14ac:dyDescent="0.2">
      <c r="A50" t="s">
        <v>92</v>
      </c>
      <c r="B50" t="s">
        <v>111</v>
      </c>
      <c r="C50">
        <f>CONVERT(1,"kibyte","byte")</f>
        <v>1024</v>
      </c>
      <c r="D50">
        <v>1024</v>
      </c>
      <c r="E50" t="str">
        <f t="shared" si="1"/>
        <v>ok</v>
      </c>
      <c r="F50" t="s">
        <v>112</v>
      </c>
    </row>
    <row r="51" spans="1:6" x14ac:dyDescent="0.2">
      <c r="A51" t="s">
        <v>92</v>
      </c>
      <c r="B51" t="s">
        <v>113</v>
      </c>
      <c r="C51">
        <f>CONVERT(1,"mn","sec")</f>
        <v>60</v>
      </c>
      <c r="D51">
        <v>60</v>
      </c>
      <c r="E51" t="str">
        <f t="shared" si="1"/>
        <v>ok</v>
      </c>
      <c r="F51" t="s">
        <v>114</v>
      </c>
    </row>
    <row r="52" spans="1:6" x14ac:dyDescent="0.2">
      <c r="A52" t="s">
        <v>92</v>
      </c>
      <c r="B52" t="s">
        <v>115</v>
      </c>
      <c r="C52">
        <f>CONVERT(1,"cwt","lbm")</f>
        <v>100</v>
      </c>
      <c r="D52">
        <v>100</v>
      </c>
      <c r="E52" t="str">
        <f t="shared" si="1"/>
        <v>ok</v>
      </c>
      <c r="F52" t="s">
        <v>116</v>
      </c>
    </row>
    <row r="53" spans="1:6" x14ac:dyDescent="0.2">
      <c r="A53" t="s">
        <v>92</v>
      </c>
      <c r="B53" t="s">
        <v>117</v>
      </c>
      <c r="C53">
        <f>CONVERT(1,"c","J")</f>
        <v>4.1840000000000002</v>
      </c>
      <c r="D53">
        <v>4.1840000000000002</v>
      </c>
      <c r="E53" t="str">
        <f t="shared" si="1"/>
        <v>ok</v>
      </c>
      <c r="F53" t="s">
        <v>118</v>
      </c>
    </row>
    <row r="54" spans="1:6" x14ac:dyDescent="0.2">
      <c r="A54" t="s">
        <v>92</v>
      </c>
      <c r="B54" t="s">
        <v>119</v>
      </c>
      <c r="C54">
        <f>CONVERT(1,"cal","J")</f>
        <v>4.1867999999999999</v>
      </c>
      <c r="D54">
        <v>4.1867999999999999</v>
      </c>
      <c r="E54" t="str">
        <f t="shared" si="1"/>
        <v>ok</v>
      </c>
      <c r="F54" t="s">
        <v>120</v>
      </c>
    </row>
    <row r="55" spans="1:6" x14ac:dyDescent="0.2">
      <c r="A55" t="s">
        <v>92</v>
      </c>
      <c r="B55" t="s">
        <v>121</v>
      </c>
      <c r="C55">
        <f>CONVERT(1,"Picapt","in")</f>
        <v>1.388888888888889E-2</v>
      </c>
      <c r="D55">
        <v>1.3888888888888888E-2</v>
      </c>
      <c r="E55" t="str">
        <f t="shared" si="1"/>
        <v>ok</v>
      </c>
      <c r="F55" t="s">
        <v>122</v>
      </c>
    </row>
    <row r="56" spans="1:6" x14ac:dyDescent="0.2">
      <c r="A56" t="s">
        <v>92</v>
      </c>
      <c r="B56" t="s">
        <v>123</v>
      </c>
      <c r="C56">
        <f>CONVERT(1,"pica","in")</f>
        <v>0.16666666666666669</v>
      </c>
      <c r="D56">
        <v>0.16666666666666666</v>
      </c>
      <c r="E56" t="str">
        <f t="shared" si="1"/>
        <v>ok</v>
      </c>
      <c r="F56" t="s">
        <v>124</v>
      </c>
    </row>
    <row r="57" spans="1:6" x14ac:dyDescent="0.2">
      <c r="A57" t="s">
        <v>92</v>
      </c>
      <c r="B57" t="s">
        <v>125</v>
      </c>
      <c r="C57">
        <f>CONVERT(1,"mK","K")</f>
        <v>1E-3</v>
      </c>
      <c r="D57" t="e">
        <f>NA()</f>
        <v>#N/A</v>
      </c>
      <c r="E57" t="str">
        <f t="shared" si="1"/>
        <v>DIFFER</v>
      </c>
      <c r="F57" t="s">
        <v>126</v>
      </c>
    </row>
    <row r="58" spans="1:6" x14ac:dyDescent="0.2">
      <c r="A58" t="s">
        <v>92</v>
      </c>
      <c r="B58" t="s">
        <v>127</v>
      </c>
      <c r="C58" t="e">
        <f>CONVERT(1,"furlong","m")</f>
        <v>#N/A</v>
      </c>
      <c r="D58" t="e">
        <f>NA()</f>
        <v>#N/A</v>
      </c>
      <c r="E58" t="str">
        <f t="shared" si="1"/>
        <v>both error</v>
      </c>
      <c r="F58" t="s">
        <v>128</v>
      </c>
    </row>
    <row r="59" spans="1:6" x14ac:dyDescent="0.2">
      <c r="A59" t="s">
        <v>92</v>
      </c>
      <c r="B59" t="s">
        <v>129</v>
      </c>
      <c r="C59" t="e">
        <f>CONVERT(1,"kft","m")</f>
        <v>#N/A</v>
      </c>
      <c r="D59" t="e">
        <f>NA()</f>
        <v>#N/A</v>
      </c>
      <c r="E59" t="str">
        <f t="shared" si="1"/>
        <v>both error</v>
      </c>
      <c r="F59" t="s">
        <v>130</v>
      </c>
    </row>
    <row r="60" spans="1:6" x14ac:dyDescent="0.2">
      <c r="A60" t="s">
        <v>92</v>
      </c>
      <c r="B60" t="s">
        <v>131</v>
      </c>
      <c r="C60" t="e">
        <f>CONVERT(1,"m","g")</f>
        <v>#N/A</v>
      </c>
      <c r="D60" t="e">
        <f>NA()</f>
        <v>#N/A</v>
      </c>
      <c r="E60" t="str">
        <f t="shared" si="1"/>
        <v>both error</v>
      </c>
      <c r="F60" t="s">
        <v>132</v>
      </c>
    </row>
    <row r="61" spans="1:6" x14ac:dyDescent="0.2">
      <c r="A61" t="s">
        <v>92</v>
      </c>
      <c r="B61" t="s">
        <v>133</v>
      </c>
      <c r="C61">
        <f>CONVERT(1,"uk_acre","m2")</f>
        <v>4046.8564224000002</v>
      </c>
      <c r="D61">
        <v>4046.8564224000002</v>
      </c>
      <c r="E61" t="str">
        <f t="shared" si="1"/>
        <v>ok</v>
      </c>
      <c r="F61" t="s">
        <v>134</v>
      </c>
    </row>
    <row r="62" spans="1:6" x14ac:dyDescent="0.2">
      <c r="A62" t="s">
        <v>92</v>
      </c>
      <c r="B62" t="s">
        <v>135</v>
      </c>
      <c r="C62">
        <f>CONVERT(1,"us_acre","m2")</f>
        <v>4046.8726098742522</v>
      </c>
      <c r="D62">
        <v>4046.8726099999999</v>
      </c>
      <c r="E62" t="str">
        <f t="shared" si="1"/>
        <v>ok</v>
      </c>
      <c r="F62" t="s">
        <v>136</v>
      </c>
    </row>
    <row r="63" spans="1:6" x14ac:dyDescent="0.2">
      <c r="A63" t="s">
        <v>92</v>
      </c>
      <c r="B63" t="s">
        <v>137</v>
      </c>
      <c r="C63">
        <f>CONVERT(1,"kn","m/s")</f>
        <v>0.51444444444444448</v>
      </c>
      <c r="D63">
        <v>0.51444444444444448</v>
      </c>
      <c r="E63" t="str">
        <f t="shared" si="1"/>
        <v>ok</v>
      </c>
      <c r="F63" t="s">
        <v>138</v>
      </c>
    </row>
    <row r="64" spans="1:6" x14ac:dyDescent="0.2">
      <c r="A64" t="s">
        <v>92</v>
      </c>
      <c r="B64" t="s">
        <v>139</v>
      </c>
      <c r="C64">
        <f>CONVERT(1,"admkn","m/s")</f>
        <v>0.51477333333333331</v>
      </c>
      <c r="D64">
        <v>0.51477333333333331</v>
      </c>
      <c r="E64" t="str">
        <f t="shared" si="1"/>
        <v>ok</v>
      </c>
      <c r="F64" t="s">
        <v>140</v>
      </c>
    </row>
    <row r="65" spans="1:6" x14ac:dyDescent="0.2">
      <c r="A65" t="s">
        <v>141</v>
      </c>
      <c r="B65" t="s">
        <v>142</v>
      </c>
      <c r="C65">
        <f>BESSELJ(2.5,0)</f>
        <v>-4.8383775826756847E-2</v>
      </c>
      <c r="D65">
        <v>-4.8383776468197998E-2</v>
      </c>
      <c r="E65" t="str">
        <f t="shared" si="1"/>
        <v>ok</v>
      </c>
      <c r="F65" t="s">
        <v>143</v>
      </c>
    </row>
    <row r="66" spans="1:6" x14ac:dyDescent="0.2">
      <c r="A66" t="s">
        <v>141</v>
      </c>
      <c r="B66" t="s">
        <v>144</v>
      </c>
      <c r="C66">
        <f>BESSELJ(2.5,1)</f>
        <v>0.49709410250442176</v>
      </c>
      <c r="D66">
        <v>0.49709410246427416</v>
      </c>
      <c r="E66" t="str">
        <f t="shared" ref="E66:E97" si="2">IF(ISERROR(C66)&lt;&gt;ISERROR(D66),"DIFFER",IF(ISERROR(C66),"both error",IF(ISNUMBER(C66),IF(ABS(C66-D66)&lt;=0.000000001*MAX(1,ABS(D66)),"ok","DIFFER"),IF(EXACT(C66,D66),"ok","DIFFER"))))</f>
        <v>ok</v>
      </c>
      <c r="F66" t="s">
        <v>145</v>
      </c>
    </row>
    <row r="67" spans="1:6" x14ac:dyDescent="0.2">
      <c r="A67" t="s">
        <v>141</v>
      </c>
      <c r="B67" t="s">
        <v>146</v>
      </c>
      <c r="C67">
        <f>BESSELJ(7,3)</f>
        <v>-0.16755558788553362</v>
      </c>
      <c r="D67">
        <v>-0.16755558799533432</v>
      </c>
      <c r="E67" t="str">
        <f t="shared" si="2"/>
        <v>ok</v>
      </c>
      <c r="F67" t="s">
        <v>147</v>
      </c>
    </row>
    <row r="68" spans="1:6" x14ac:dyDescent="0.2">
      <c r="A68" t="s">
        <v>141</v>
      </c>
      <c r="B68" t="s">
        <v>148</v>
      </c>
      <c r="C68">
        <f>BESSELY(2.5,0)</f>
        <v>0.49807035844668862</v>
      </c>
      <c r="D68">
        <v>0.49807035961523222</v>
      </c>
      <c r="E68" t="str">
        <f t="shared" si="2"/>
        <v>DIFFER</v>
      </c>
      <c r="F68" t="s">
        <v>149</v>
      </c>
    </row>
    <row r="69" spans="1:6" x14ac:dyDescent="0.2">
      <c r="A69" t="s">
        <v>141</v>
      </c>
      <c r="B69" t="s">
        <v>150</v>
      </c>
      <c r="C69">
        <f>BESSELY(7,2)</f>
        <v>-6.0526599973993622E-2</v>
      </c>
      <c r="D69">
        <v>-6.0526609468272173E-2</v>
      </c>
      <c r="E69" t="str">
        <f t="shared" si="2"/>
        <v>DIFFER</v>
      </c>
      <c r="F69" t="s">
        <v>151</v>
      </c>
    </row>
    <row r="70" spans="1:6" x14ac:dyDescent="0.2">
      <c r="A70" t="s">
        <v>141</v>
      </c>
      <c r="B70" t="s">
        <v>152</v>
      </c>
      <c r="C70">
        <f>BESSELI(2.5,0)</f>
        <v>3.2898391723912908</v>
      </c>
      <c r="D70">
        <v>3.2898391440501231</v>
      </c>
      <c r="E70" t="str">
        <f t="shared" si="2"/>
        <v>DIFFER</v>
      </c>
      <c r="F70" t="s">
        <v>153</v>
      </c>
    </row>
    <row r="71" spans="1:6" x14ac:dyDescent="0.2">
      <c r="A71" t="s">
        <v>141</v>
      </c>
      <c r="B71" t="s">
        <v>154</v>
      </c>
      <c r="C71">
        <f>BESSELI(7,3)</f>
        <v>85.175486467317</v>
      </c>
      <c r="D71">
        <v>85.175486842843853</v>
      </c>
      <c r="E71" t="str">
        <f t="shared" si="2"/>
        <v>DIFFER</v>
      </c>
      <c r="F71" t="s">
        <v>155</v>
      </c>
    </row>
    <row r="72" spans="1:6" x14ac:dyDescent="0.2">
      <c r="A72" t="s">
        <v>141</v>
      </c>
      <c r="B72" t="s">
        <v>156</v>
      </c>
      <c r="C72">
        <f>BESSELK(2.5,0)</f>
        <v>6.2347554191019179E-2</v>
      </c>
      <c r="D72">
        <v>6.2347553200366161E-2</v>
      </c>
      <c r="E72" t="str">
        <f t="shared" si="2"/>
        <v>ok</v>
      </c>
      <c r="F72" t="s">
        <v>157</v>
      </c>
    </row>
    <row r="73" spans="1:6" x14ac:dyDescent="0.2">
      <c r="A73" t="s">
        <v>141</v>
      </c>
      <c r="B73" t="s">
        <v>158</v>
      </c>
      <c r="C73">
        <f>BESSELK(7,2)</f>
        <v>5.5456216142678229E-4</v>
      </c>
      <c r="D73">
        <v>5.5456216669348875E-4</v>
      </c>
      <c r="E73" t="str">
        <f t="shared" si="2"/>
        <v>ok</v>
      </c>
      <c r="F73" t="s">
        <v>159</v>
      </c>
    </row>
    <row r="74" spans="1:6" x14ac:dyDescent="0.2">
      <c r="A74" t="s">
        <v>141</v>
      </c>
      <c r="B74" t="s">
        <v>160</v>
      </c>
      <c r="C74">
        <f>BESSELJ(2.5,1.9)</f>
        <v>0.49709410250442176</v>
      </c>
      <c r="D74">
        <v>0.49709410246427416</v>
      </c>
      <c r="E74" t="str">
        <f t="shared" si="2"/>
        <v>ok</v>
      </c>
      <c r="F74" t="s">
        <v>161</v>
      </c>
    </row>
    <row r="75" spans="1:6" x14ac:dyDescent="0.2">
      <c r="A75" t="s">
        <v>141</v>
      </c>
      <c r="B75" t="s">
        <v>162</v>
      </c>
      <c r="C75" t="e">
        <f>BESSELJ(1,-1)</f>
        <v>#NUM!</v>
      </c>
      <c r="D75" t="e">
        <f>SQRT(-1)</f>
        <v>#NUM!</v>
      </c>
      <c r="E75" t="str">
        <f t="shared" si="2"/>
        <v>both error</v>
      </c>
      <c r="F75" t="s">
        <v>163</v>
      </c>
    </row>
    <row r="76" spans="1:6" x14ac:dyDescent="0.2">
      <c r="A76" t="s">
        <v>141</v>
      </c>
      <c r="B76" t="s">
        <v>164</v>
      </c>
      <c r="C76" t="e">
        <f>BESSELK(0,0)</f>
        <v>#NUM!</v>
      </c>
      <c r="D76" t="e">
        <f>SQRT(-1)</f>
        <v>#NUM!</v>
      </c>
      <c r="E76" t="str">
        <f t="shared" si="2"/>
        <v>both error</v>
      </c>
      <c r="F76" t="s">
        <v>165</v>
      </c>
    </row>
    <row r="77" spans="1:6" x14ac:dyDescent="0.2">
      <c r="A77" t="s">
        <v>141</v>
      </c>
      <c r="B77" t="s">
        <v>166</v>
      </c>
      <c r="C77" t="e">
        <f>BESSELY(-1,0)</f>
        <v>#NUM!</v>
      </c>
      <c r="D77" t="e">
        <f>SQRT(-1)</f>
        <v>#NUM!</v>
      </c>
      <c r="E77" t="str">
        <f t="shared" si="2"/>
        <v>both error</v>
      </c>
      <c r="F7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jpurnell purnell</cp:lastModifiedBy>
  <dcterms:modified xsi:type="dcterms:W3CDTF">2026-09-14T04:43:00Z</dcterms:modified>
</cp:coreProperties>
</file>